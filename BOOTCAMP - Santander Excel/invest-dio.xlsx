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ab41f8bb115213/Documentos/"/>
    </mc:Choice>
  </mc:AlternateContent>
  <xr:revisionPtr revIDLastSave="507" documentId="8_{49B22E36-1353-4147-80AA-60AD43EC2F47}" xr6:coauthVersionLast="47" xr6:coauthVersionMax="47" xr10:uidLastSave="{1B212437-00AC-44A2-AC03-384C22A914F8}"/>
  <bookViews>
    <workbookView xWindow="-120" yWindow="-120" windowWidth="29040" windowHeight="15720" xr2:uid="{F153C93D-3E8F-4A91-AFD3-084C6A8FF57D}"/>
  </bookViews>
  <sheets>
    <sheet name="APP" sheetId="1" r:id="rId1"/>
    <sheet name="Conditions" sheetId="2" r:id="rId2"/>
  </sheets>
  <definedNames>
    <definedName name="rendimento_mensal_config">APP!$F$22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45" i="1"/>
  <c r="H46" i="1"/>
  <c r="H47" i="1"/>
  <c r="H48" i="1"/>
  <c r="H43" i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6" i="2"/>
  <c r="F33" i="1"/>
  <c r="I33" i="1" s="1"/>
  <c r="H40" i="1"/>
  <c r="F29" i="1"/>
  <c r="F30" i="1" s="1"/>
  <c r="F37" i="1"/>
  <c r="I37" i="1" s="1"/>
  <c r="F36" i="1"/>
  <c r="I36" i="1" s="1"/>
  <c r="F35" i="1"/>
  <c r="I35" i="1" s="1"/>
  <c r="F34" i="1"/>
  <c r="I34" i="1" s="1"/>
  <c r="I43" i="1" l="1"/>
  <c r="I44" i="1"/>
  <c r="H49" i="1"/>
  <c r="I46" i="1"/>
  <c r="I48" i="1"/>
  <c r="I47" i="1"/>
  <c r="I45" i="1"/>
  <c r="I49" i="1" l="1"/>
</calcChain>
</file>

<file path=xl/sharedStrings.xml><?xml version="1.0" encoding="utf-8"?>
<sst xmlns="http://schemas.openxmlformats.org/spreadsheetml/2006/main" count="72" uniqueCount="37">
  <si>
    <t xml:space="preserve"> </t>
  </si>
  <si>
    <t>Patrimônio acumulado:</t>
  </si>
  <si>
    <t>Dividendos mensais:</t>
  </si>
  <si>
    <t xml:space="preserve">Quanto investir por mês? </t>
  </si>
  <si>
    <t xml:space="preserve">Por quantos anos? </t>
  </si>
  <si>
    <t xml:space="preserve">Qual a taxa de rendimento mensal? 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</si>
  <si>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</si>
  <si>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</si>
  <si>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</si>
  <si>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</si>
  <si>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</si>
  <si>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</si>
  <si>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</si>
  <si>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Patrimonio</t>
  </si>
  <si>
    <t>Dividendo</t>
  </si>
  <si>
    <t>CONFIGURAÇÕES</t>
  </si>
  <si>
    <t>Salário</t>
  </si>
  <si>
    <t>Rendimento Atual</t>
  </si>
  <si>
    <t>Investimento Sugerido</t>
  </si>
  <si>
    <t>PERFIL</t>
  </si>
  <si>
    <t>VALOR A SER INVESTIDO POR MÊS</t>
  </si>
  <si>
    <t>TIPO DE FII</t>
  </si>
  <si>
    <t>PERCENTUAL SUGERIDO</t>
  </si>
  <si>
    <t>VALOR</t>
  </si>
  <si>
    <t>PAPEL</t>
  </si>
  <si>
    <t>TIJOLO</t>
  </si>
  <si>
    <t>FOFs</t>
  </si>
  <si>
    <t>HÍBRIDOS</t>
  </si>
  <si>
    <t>DESENVOLVIMENTO</t>
  </si>
  <si>
    <t>HOTELARIAS</t>
  </si>
  <si>
    <t>TOTAL</t>
  </si>
  <si>
    <t>Moderado</t>
  </si>
  <si>
    <t>Conservador</t>
  </si>
  <si>
    <t>Perfil</t>
  </si>
  <si>
    <t>Percentual</t>
  </si>
  <si>
    <t>CHAVE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</si>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</sst>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30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DDDDDD"/>
        <bgColor indexed="64"/>
      </patternFill>
    </fill>
    <fill>
      <patternFill patternType="solid">
        <fgColor theme="2" tint="-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medium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6" borderId="0" applyNumberFormat="0" applyBorder="0" applyAlignment="0" applyProtection="0"/>
  </cellStyleXfs>
  <cellXfs count="78">
    <xf numFmtId="0" fontId="0" fillId="0" borderId="0" xfId="0"/>
    <xf numFmtId="164" fontId="1" fillId="4" borderId="3" xfId="1" applyNumberForma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9" fontId="0" fillId="0" borderId="0" xfId="4" applyFont="1" applyBorder="1" applyAlignment="1">
      <alignment horizontal="center" vertical="center"/>
    </xf>
    <xf numFmtId="9" fontId="0" fillId="8" borderId="36" xfId="0" applyNumberFormat="1" applyFill="1" applyBorder="1" applyAlignment="1">
      <alignment horizontal="center" vertical="center"/>
    </xf>
    <xf numFmtId="0" fontId="7" fillId="6" borderId="0" xfId="5" applyBorder="1"/>
    <xf numFmtId="164" fontId="0" fillId="0" borderId="0" xfId="3" applyNumberFormat="1" applyFont="1" applyBorder="1" applyAlignment="1">
      <alignment horizontal="center" vertical="center"/>
    </xf>
    <xf numFmtId="164" fontId="0" fillId="8" borderId="36" xfId="0" applyNumberForma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8" fontId="1" fillId="4" borderId="15" xfId="1" applyNumberFormat="1" applyFill="1" applyBorder="1" applyAlignment="1">
      <alignment horizontal="center" vertical="center"/>
    </xf>
    <xf numFmtId="8" fontId="1" fillId="4" borderId="16" xfId="1" applyNumberFormat="1" applyFill="1" applyBorder="1" applyAlignment="1">
      <alignment horizontal="center" vertical="center"/>
    </xf>
    <xf numFmtId="8" fontId="1" fillId="4" borderId="18" xfId="1" applyNumberForma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164" fontId="1" fillId="4" borderId="22" xfId="1" applyNumberFormat="1" applyFill="1" applyBorder="1" applyAlignment="1">
      <alignment horizontal="center" vertical="center"/>
    </xf>
    <xf numFmtId="164" fontId="1" fillId="4" borderId="20" xfId="1" applyNumberFormat="1" applyFill="1" applyBorder="1" applyAlignment="1">
      <alignment horizontal="center" vertical="center"/>
    </xf>
    <xf numFmtId="164" fontId="1" fillId="4" borderId="21" xfId="1" applyNumberFormat="1" applyFill="1" applyBorder="1" applyAlignment="1">
      <alignment horizontal="center" vertical="center"/>
    </xf>
    <xf numFmtId="164" fontId="1" fillId="4" borderId="15" xfId="1" applyNumberFormat="1" applyFill="1" applyBorder="1" applyAlignment="1">
      <alignment horizontal="center" vertical="center"/>
    </xf>
    <xf numFmtId="164" fontId="1" fillId="4" borderId="16" xfId="1" applyNumberFormat="1" applyFill="1" applyBorder="1" applyAlignment="1">
      <alignment horizontal="center" vertical="center"/>
    </xf>
    <xf numFmtId="164" fontId="1" fillId="4" borderId="18" xfId="1" applyNumberFormat="1" applyFill="1" applyBorder="1" applyAlignment="1">
      <alignment horizontal="center" vertical="center"/>
    </xf>
    <xf numFmtId="0" fontId="5" fillId="4" borderId="15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64" fontId="1" fillId="4" borderId="12" xfId="1" applyNumberFormat="1" applyFill="1" applyBorder="1" applyAlignment="1">
      <alignment horizontal="center" vertical="center"/>
    </xf>
    <xf numFmtId="164" fontId="1" fillId="4" borderId="13" xfId="1" applyNumberFormat="1" applyFill="1" applyBorder="1" applyAlignment="1">
      <alignment horizontal="center" vertical="center"/>
    </xf>
    <xf numFmtId="164" fontId="1" fillId="4" borderId="14" xfId="1" applyNumberFormat="1" applyFill="1" applyBorder="1" applyAlignment="1">
      <alignment horizontal="center" vertical="center"/>
    </xf>
    <xf numFmtId="164" fontId="1" fillId="4" borderId="29" xfId="1" applyNumberFormat="1" applyFill="1" applyBorder="1" applyAlignment="1">
      <alignment horizontal="center" vertical="center"/>
    </xf>
    <xf numFmtId="164" fontId="1" fillId="4" borderId="30" xfId="1" applyNumberFormat="1" applyFill="1" applyBorder="1" applyAlignment="1">
      <alignment horizontal="center" vertical="center"/>
    </xf>
    <xf numFmtId="164" fontId="1" fillId="4" borderId="31" xfId="1" applyNumberForma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26" xfId="2" applyFont="1" applyFill="1" applyBorder="1" applyAlignment="1">
      <alignment horizontal="center" vertical="center"/>
    </xf>
    <xf numFmtId="0" fontId="5" fillId="4" borderId="27" xfId="2" applyFont="1" applyFill="1" applyBorder="1" applyAlignment="1">
      <alignment horizontal="center" vertical="center"/>
    </xf>
    <xf numFmtId="0" fontId="5" fillId="4" borderId="28" xfId="2" applyFont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0" fontId="0" fillId="7" borderId="34" xfId="0" applyNumberFormat="1" applyFill="1" applyBorder="1" applyAlignment="1">
      <alignment horizontal="center" vertical="center"/>
    </xf>
    <xf numFmtId="10" fontId="0" fillId="7" borderId="27" xfId="0" applyNumberFormat="1" applyFill="1" applyBorder="1" applyAlignment="1">
      <alignment horizontal="center" vertical="center"/>
    </xf>
    <xf numFmtId="10" fontId="0" fillId="7" borderId="35" xfId="0" applyNumberForma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8" fillId="4" borderId="0" xfId="0" applyFont="1" applyFill="1"/>
    <xf numFmtId="164" fontId="8" fillId="4" borderId="0" xfId="0" applyNumberFormat="1" applyFont="1" applyFill="1" applyAlignment="1">
      <alignment horizontal="left"/>
    </xf>
    <xf numFmtId="0" fontId="9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8" fillId="8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4" applyFont="1"/>
    <xf numFmtId="9" fontId="0" fillId="0" borderId="0" xfId="4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9" fontId="0" fillId="0" borderId="36" xfId="4" applyFont="1" applyBorder="1" applyAlignment="1">
      <alignment horizontal="center" vertical="center"/>
    </xf>
  </cellXfs>
  <cellStyles count="6">
    <cellStyle name="Calculation" xfId="1" builtinId="22"/>
    <cellStyle name="Currency" xfId="3" builtinId="4"/>
    <cellStyle name="Explanatory Text" xfId="2" builtinId="53"/>
    <cellStyle name="Neutral" xfId="5" builtinId="28"/>
    <cellStyle name="Normal" xfId="0" builtinId="0"/>
    <cellStyle name="Percent" xfId="4" builtinId="5"/>
  </cellStyles>
  <dxfs count="5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APP!$B$43:$B$48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APP!$H$43:$H$48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AC-48D4-9F4F-468ED0A53FED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APP!$B$43:$B$48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APP!$I$43:$I$48</c:f>
              <c:numCache>
                <c:formatCode>"R$"\ #,##0.00</c:formatCode>
                <c:ptCount val="6"/>
                <c:pt idx="0">
                  <c:v>450</c:v>
                </c:pt>
                <c:pt idx="1">
                  <c:v>90</c:v>
                </c:pt>
                <c:pt idx="2">
                  <c:v>45</c:v>
                </c:pt>
                <c:pt idx="3">
                  <c:v>45</c:v>
                </c:pt>
                <c:pt idx="4">
                  <c:v>180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AC-48D4-9F4F-468ED0A53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APP!$B$43:$B$48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APP!$C$43:$C$48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CAC-48D4-9F4F-468ED0A53FED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APP!$D$43:$D$48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CAC-48D4-9F4F-468ED0A53FED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APP!$E$43:$E$48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CAC-48D4-9F4F-468ED0A53FED}"/>
                  </c:ext>
                </c:extLst>
              </c15:ser>
            </c15:filteredPieSeries>
            <c15:filteredPieSeries>
              <c15:ser>
                <c:idx val="3"/>
                <c:order val="3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APP!$F$43:$F$48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CAC-48D4-9F4F-468ED0A53FED}"/>
                  </c:ext>
                </c:extLst>
              </c15:ser>
            </c15:filteredPieSeries>
            <c15:filteredPieSeries>
              <c15:ser>
                <c:idx val="4"/>
                <c:order val="4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APP!$B$43:$B$48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APP!$G$43:$G$48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CAC-48D4-9F4F-468ED0A53FED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11443907132187"/>
          <c:y val="0.84924318100780383"/>
          <c:w val="0.72619996455426994"/>
          <c:h val="9.0726403045295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609600</xdr:colOff>
      <xdr:row>17</xdr:row>
      <xdr:rowOff>167054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94D19-6210-394A-AAE6-3561538FE4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967"/>
        <a:stretch>
          <a:fillRect/>
        </a:stretch>
      </xdr:blipFill>
      <xdr:spPr bwMode="auto">
        <a:xfrm>
          <a:off x="0" y="0"/>
          <a:ext cx="7058025" cy="1633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571500</xdr:colOff>
      <xdr:row>49</xdr:row>
      <xdr:rowOff>200023</xdr:rowOff>
    </xdr:from>
    <xdr:to>
      <xdr:col>9</xdr:col>
      <xdr:colOff>47625</xdr:colOff>
      <xdr:row>62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2EA843-46A9-0394-7F4C-F1DF6D52E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017E7-9DB0-469B-9A43-375AA58973B6}" name="Table4" displayName="Table4" ref="E5:H23" totalsRowShown="0" headerRowDxfId="0">
  <autoFilter ref="E5:H23" xr:uid="{254017E7-9DB0-469B-9A43-375AA58973B6}"/>
  <tableColumns count="4">
    <tableColumn id="1" xr3:uid="{42C8F629-C7AB-4A13-A6C9-C7D05D21C33E}" name="CHAVE" dataDxfId="4">
      <calculatedColumnFormula>F6&amp;"-"&amp;G6</calculatedColumnFormula>
    </tableColumn>
    <tableColumn id="2" xr3:uid="{0E8B4D73-D623-41EA-B687-02EB25AFFF16}" name="Perfil" dataDxfId="3"/>
    <tableColumn id="3" xr3:uid="{3D355343-8576-4920-BF3F-A7B984D2EAB5}" name="TIPO DE FII" dataDxfId="2"/>
    <tableColumn id="4" xr3:uid="{E5495A95-3D0A-4E73-AFA0-CEC1782A1F5E}" name="Percentual" dataDxfId="1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9D62-5503-4647-91E6-AAB8EEAD122A}">
  <dimension ref="A11:AC63"/>
  <sheetViews>
    <sheetView showGridLines="0" tabSelected="1" topLeftCell="A39" zoomScaleNormal="100" workbookViewId="0">
      <selection activeCell="A63" sqref="A63"/>
    </sheetView>
  </sheetViews>
  <sheetFormatPr defaultColWidth="0" defaultRowHeight="0" customHeight="1" zeroHeight="1" x14ac:dyDescent="0.25"/>
  <cols>
    <col min="1" max="1" width="9.140625" customWidth="1"/>
    <col min="2" max="2" width="7" bestFit="1" customWidth="1"/>
    <col min="3" max="7" width="9.140625" customWidth="1"/>
    <col min="8" max="8" width="22.42578125" bestFit="1" customWidth="1"/>
    <col min="9" max="9" width="12.42578125" bestFit="1" customWidth="1"/>
    <col min="10" max="10" width="12.42578125" customWidth="1"/>
    <col min="11" max="19" width="0" hidden="1" customWidth="1"/>
    <col min="30" max="16384" width="9.140625" hidden="1"/>
  </cols>
  <sheetData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spans="1:9" ht="16.5" customHeight="1" x14ac:dyDescent="0.25"/>
    <row r="18" spans="1:9" ht="16.5" customHeight="1" x14ac:dyDescent="0.25"/>
    <row r="19" spans="1:9" ht="16.5" customHeight="1" thickBot="1" x14ac:dyDescent="0.3"/>
    <row r="20" spans="1:9" ht="49.5" customHeight="1" x14ac:dyDescent="0.25">
      <c r="A20" t="s">
        <v>0</v>
      </c>
      <c r="B20" s="56" t="s">
        <v>15</v>
      </c>
      <c r="C20" s="57"/>
      <c r="D20" s="57"/>
      <c r="E20" s="57"/>
      <c r="F20" s="57"/>
      <c r="G20" s="57"/>
      <c r="H20" s="57"/>
      <c r="I20" s="58"/>
    </row>
    <row r="21" spans="1:9" ht="15" x14ac:dyDescent="0.25">
      <c r="B21" s="59" t="s">
        <v>16</v>
      </c>
      <c r="C21" s="60"/>
      <c r="D21" s="60"/>
      <c r="E21" s="60"/>
      <c r="F21" s="50">
        <v>5000</v>
      </c>
      <c r="G21" s="51"/>
      <c r="H21" s="51"/>
      <c r="I21" s="52"/>
    </row>
    <row r="22" spans="1:9" ht="15" x14ac:dyDescent="0.25">
      <c r="B22" s="59" t="s">
        <v>17</v>
      </c>
      <c r="C22" s="60"/>
      <c r="D22" s="60"/>
      <c r="E22" s="60"/>
      <c r="F22" s="34">
        <v>0.01</v>
      </c>
      <c r="G22" s="35"/>
      <c r="H22" s="35"/>
      <c r="I22" s="36"/>
    </row>
    <row r="23" spans="1:9" ht="15.75" thickBot="1" x14ac:dyDescent="0.3">
      <c r="B23" s="64" t="s">
        <v>18</v>
      </c>
      <c r="C23" s="65"/>
      <c r="D23" s="65"/>
      <c r="E23" s="65"/>
      <c r="F23" s="53">
        <v>0.3</v>
      </c>
      <c r="G23" s="54"/>
      <c r="H23" s="54"/>
      <c r="I23" s="55"/>
    </row>
    <row r="24" spans="1:9" ht="15.75" thickBot="1" x14ac:dyDescent="0.3"/>
    <row r="25" spans="1:9" ht="39" x14ac:dyDescent="0.25">
      <c r="B25" s="61" t="s">
        <v>6</v>
      </c>
      <c r="C25" s="62"/>
      <c r="D25" s="62"/>
      <c r="E25" s="62"/>
      <c r="F25" s="62"/>
      <c r="G25" s="62"/>
      <c r="H25" s="62"/>
      <c r="I25" s="63"/>
    </row>
    <row r="26" spans="1:9" ht="15" x14ac:dyDescent="0.25">
      <c r="B26" s="47" t="s">
        <v>3</v>
      </c>
      <c r="C26" s="48"/>
      <c r="D26" s="48"/>
      <c r="E26" s="49"/>
      <c r="F26" s="50">
        <v>900</v>
      </c>
      <c r="G26" s="51"/>
      <c r="H26" s="51"/>
      <c r="I26" s="52"/>
    </row>
    <row r="27" spans="1:9" ht="15" x14ac:dyDescent="0.25">
      <c r="B27" s="47" t="s">
        <v>4</v>
      </c>
      <c r="C27" s="48"/>
      <c r="D27" s="48"/>
      <c r="E27" s="49"/>
      <c r="F27" s="31">
        <v>5</v>
      </c>
      <c r="G27" s="32"/>
      <c r="H27" s="32"/>
      <c r="I27" s="33"/>
    </row>
    <row r="28" spans="1:9" ht="15" x14ac:dyDescent="0.25">
      <c r="B28" s="47" t="s">
        <v>5</v>
      </c>
      <c r="C28" s="48"/>
      <c r="D28" s="48"/>
      <c r="E28" s="49"/>
      <c r="F28" s="34">
        <v>1.0800000000000001E-2</v>
      </c>
      <c r="G28" s="35"/>
      <c r="H28" s="35"/>
      <c r="I28" s="36"/>
    </row>
    <row r="29" spans="1:9" ht="15" x14ac:dyDescent="0.25">
      <c r="B29" s="43" t="s">
        <v>1</v>
      </c>
      <c r="C29" s="29"/>
      <c r="D29" s="29"/>
      <c r="E29" s="30"/>
      <c r="F29" s="37">
        <f>FV(rendimento_mensal_config,F27*12,F26*-1)</f>
        <v>73502.702870768218</v>
      </c>
      <c r="G29" s="38"/>
      <c r="H29" s="38"/>
      <c r="I29" s="39"/>
    </row>
    <row r="30" spans="1:9" ht="15.75" thickBot="1" x14ac:dyDescent="0.3">
      <c r="B30" s="44" t="s">
        <v>2</v>
      </c>
      <c r="C30" s="45"/>
      <c r="D30" s="45"/>
      <c r="E30" s="46"/>
      <c r="F30" s="40">
        <f>F29*F28</f>
        <v>793.82919100429683</v>
      </c>
      <c r="G30" s="41"/>
      <c r="H30" s="41"/>
      <c r="I30" s="42"/>
    </row>
    <row r="31" spans="1:9" ht="15.75" thickBot="1" x14ac:dyDescent="0.3"/>
    <row r="32" spans="1:9" ht="39.75" thickBot="1" x14ac:dyDescent="0.3">
      <c r="B32" s="15" t="s">
        <v>7</v>
      </c>
      <c r="C32" s="16"/>
      <c r="D32" s="16"/>
      <c r="E32" s="16"/>
      <c r="F32" s="17" t="s">
        <v>13</v>
      </c>
      <c r="G32" s="18"/>
      <c r="H32" s="18"/>
      <c r="I32" s="2" t="s">
        <v>14</v>
      </c>
    </row>
    <row r="33" spans="2:9" ht="15" x14ac:dyDescent="0.25">
      <c r="B33" s="19" t="s">
        <v>8</v>
      </c>
      <c r="C33" s="20"/>
      <c r="D33" s="20"/>
      <c r="E33" s="21"/>
      <c r="F33" s="22">
        <f>FV(F28,2*12,F26*-1)</f>
        <v>24507.777294523432</v>
      </c>
      <c r="G33" s="23"/>
      <c r="H33" s="24"/>
      <c r="I33" s="1">
        <f>F33*$F$22</f>
        <v>245.07777294523433</v>
      </c>
    </row>
    <row r="34" spans="2:9" ht="15" x14ac:dyDescent="0.25">
      <c r="B34" s="9" t="s">
        <v>9</v>
      </c>
      <c r="C34" s="10"/>
      <c r="D34" s="10"/>
      <c r="E34" s="11"/>
      <c r="F34" s="12">
        <f>FV(F28,5*12,F26*-1)</f>
        <v>75423.617423332587</v>
      </c>
      <c r="G34" s="13"/>
      <c r="H34" s="14"/>
      <c r="I34" s="1">
        <f>F34*$F$22</f>
        <v>754.23617423332587</v>
      </c>
    </row>
    <row r="35" spans="2:9" ht="15" x14ac:dyDescent="0.25">
      <c r="B35" s="9" t="s">
        <v>10</v>
      </c>
      <c r="C35" s="10"/>
      <c r="D35" s="10"/>
      <c r="E35" s="11"/>
      <c r="F35" s="12">
        <f>FV(F28,10*12,F26*-1)</f>
        <v>219111.89962932011</v>
      </c>
      <c r="G35" s="13"/>
      <c r="H35" s="14"/>
      <c r="I35" s="1">
        <f>F35*$F$22</f>
        <v>2191.1189962932012</v>
      </c>
    </row>
    <row r="36" spans="2:9" ht="15" x14ac:dyDescent="0.25">
      <c r="B36" s="28" t="s">
        <v>11</v>
      </c>
      <c r="C36" s="29"/>
      <c r="D36" s="29"/>
      <c r="E36" s="30"/>
      <c r="F36" s="25">
        <f>FV(F28,20*12,F26*-1)</f>
        <v>1014344.093968671</v>
      </c>
      <c r="G36" s="26"/>
      <c r="H36" s="27"/>
      <c r="I36" s="1">
        <f>F36*$F$22</f>
        <v>10143.44093968671</v>
      </c>
    </row>
    <row r="37" spans="2:9" ht="15" x14ac:dyDescent="0.25">
      <c r="B37" s="28" t="s">
        <v>12</v>
      </c>
      <c r="C37" s="29"/>
      <c r="D37" s="29"/>
      <c r="E37" s="30"/>
      <c r="F37" s="25">
        <f>FV(F28,30*12,F26*-1)</f>
        <v>3900514.3292850764</v>
      </c>
      <c r="G37" s="26"/>
      <c r="H37" s="27"/>
      <c r="I37" s="1">
        <f>F37*$F$22</f>
        <v>39005.143292850764</v>
      </c>
    </row>
    <row r="38" spans="2:9" ht="16.5" customHeight="1" x14ac:dyDescent="0.25"/>
    <row r="39" spans="2:9" ht="16.5" customHeight="1" x14ac:dyDescent="0.25">
      <c r="B39" s="6" t="s">
        <v>19</v>
      </c>
      <c r="C39" s="6"/>
      <c r="D39" s="6"/>
      <c r="E39" s="6"/>
      <c r="F39" s="6"/>
      <c r="G39" s="6"/>
      <c r="H39" s="6" t="s">
        <v>36</v>
      </c>
      <c r="I39" s="6"/>
    </row>
    <row r="40" spans="2:9" ht="16.5" customHeight="1" x14ac:dyDescent="0.25">
      <c r="B40" s="66" t="s">
        <v>20</v>
      </c>
      <c r="C40" s="66"/>
      <c r="D40" s="66"/>
      <c r="E40" s="66"/>
      <c r="F40" s="66"/>
      <c r="G40" s="66"/>
      <c r="H40" s="67">
        <f>F26</f>
        <v>900</v>
      </c>
      <c r="I40" s="67"/>
    </row>
    <row r="42" spans="2:9" ht="16.5" customHeight="1" x14ac:dyDescent="0.25">
      <c r="B42" s="68" t="s">
        <v>21</v>
      </c>
      <c r="C42" s="68"/>
      <c r="D42" s="68"/>
      <c r="E42" s="68"/>
      <c r="F42" s="68"/>
      <c r="G42" s="68"/>
      <c r="H42" s="3" t="s">
        <v>22</v>
      </c>
      <c r="I42" s="3" t="s">
        <v>23</v>
      </c>
    </row>
    <row r="43" spans="2:9" ht="16.5" customHeight="1" x14ac:dyDescent="0.25">
      <c r="B43" s="69" t="s">
        <v>24</v>
      </c>
      <c r="C43" s="69"/>
      <c r="D43" s="69"/>
      <c r="E43" s="69"/>
      <c r="F43" s="69"/>
      <c r="G43" s="69"/>
      <c r="H43" s="4">
        <f>VLOOKUP($H$39&amp;"-"&amp;B43,Conditions!$E:$H,4,FALSE)</f>
        <v>0.5</v>
      </c>
      <c r="I43" s="7">
        <f>H43*$H$40</f>
        <v>450</v>
      </c>
    </row>
    <row r="44" spans="2:9" ht="16.5" customHeight="1" x14ac:dyDescent="0.25">
      <c r="B44" s="69" t="s">
        <v>25</v>
      </c>
      <c r="C44" s="69"/>
      <c r="D44" s="69"/>
      <c r="E44" s="69"/>
      <c r="F44" s="69"/>
      <c r="G44" s="69"/>
      <c r="H44" s="4">
        <f>VLOOKUP($H$39&amp;"-"&amp;B44,Conditions!$E:$H,4,FALSE)</f>
        <v>0.1</v>
      </c>
      <c r="I44" s="7">
        <f t="shared" ref="I44:I48" si="0">H44*$H$40</f>
        <v>90</v>
      </c>
    </row>
    <row r="45" spans="2:9" ht="16.5" customHeight="1" x14ac:dyDescent="0.25">
      <c r="B45" s="69" t="s">
        <v>27</v>
      </c>
      <c r="C45" s="69"/>
      <c r="D45" s="69"/>
      <c r="E45" s="69"/>
      <c r="F45" s="69"/>
      <c r="G45" s="69"/>
      <c r="H45" s="4">
        <f>VLOOKUP($H$39&amp;"-"&amp;B45,Conditions!$E:$H,4,FALSE)</f>
        <v>0.05</v>
      </c>
      <c r="I45" s="7">
        <f t="shared" si="0"/>
        <v>45</v>
      </c>
    </row>
    <row r="46" spans="2:9" ht="16.5" customHeight="1" x14ac:dyDescent="0.25">
      <c r="B46" s="69" t="s">
        <v>26</v>
      </c>
      <c r="C46" s="69"/>
      <c r="D46" s="69"/>
      <c r="E46" s="69"/>
      <c r="F46" s="69"/>
      <c r="G46" s="69"/>
      <c r="H46" s="4">
        <f>VLOOKUP($H$39&amp;"-"&amp;B46,Conditions!$E:$H,4,FALSE)</f>
        <v>0.05</v>
      </c>
      <c r="I46" s="7">
        <f t="shared" si="0"/>
        <v>45</v>
      </c>
    </row>
    <row r="47" spans="2:9" ht="16.5" customHeight="1" x14ac:dyDescent="0.25">
      <c r="B47" s="69" t="s">
        <v>28</v>
      </c>
      <c r="C47" s="69"/>
      <c r="D47" s="69"/>
      <c r="E47" s="69"/>
      <c r="F47" s="69"/>
      <c r="G47" s="69"/>
      <c r="H47" s="4">
        <f>VLOOKUP($H$39&amp;"-"&amp;B47,Conditions!$E:$H,4,FALSE)</f>
        <v>0.2</v>
      </c>
      <c r="I47" s="7">
        <f t="shared" si="0"/>
        <v>180</v>
      </c>
    </row>
    <row r="48" spans="2:9" ht="16.5" customHeight="1" x14ac:dyDescent="0.25">
      <c r="B48" s="69" t="s">
        <v>29</v>
      </c>
      <c r="C48" s="69"/>
      <c r="D48" s="69"/>
      <c r="E48" s="69"/>
      <c r="F48" s="69"/>
      <c r="G48" s="69"/>
      <c r="H48" s="4">
        <f>VLOOKUP($H$39&amp;"-"&amp;B48,Conditions!$E:$H,4,FALSE)</f>
        <v>0.1</v>
      </c>
      <c r="I48" s="7">
        <f t="shared" si="0"/>
        <v>90</v>
      </c>
    </row>
    <row r="49" spans="2:9" ht="16.5" customHeight="1" thickBot="1" x14ac:dyDescent="0.3">
      <c r="B49" s="70" t="s">
        <v>30</v>
      </c>
      <c r="C49" s="70"/>
      <c r="D49" s="70"/>
      <c r="E49" s="70"/>
      <c r="F49" s="70"/>
      <c r="G49" s="70"/>
      <c r="H49" s="5">
        <f>SUM(H43:H48)</f>
        <v>1.0000000000000002</v>
      </c>
      <c r="I49" s="8">
        <f>SUM(I43:I48)</f>
        <v>900</v>
      </c>
    </row>
    <row r="50" spans="2:9" ht="16.5" customHeight="1" x14ac:dyDescent="0.25"/>
    <row r="51" spans="2:9" ht="16.5" customHeight="1" x14ac:dyDescent="0.25"/>
    <row r="52" spans="2:9" ht="16.5" customHeight="1" x14ac:dyDescent="0.25"/>
    <row r="53" spans="2:9" ht="16.5" customHeight="1" x14ac:dyDescent="0.25"/>
    <row r="54" spans="2:9" ht="16.5" customHeight="1" x14ac:dyDescent="0.25"/>
    <row r="55" spans="2:9" ht="16.5" customHeight="1" x14ac:dyDescent="0.25"/>
    <row r="56" spans="2:9" ht="16.5" customHeight="1" x14ac:dyDescent="0.25"/>
    <row r="57" spans="2:9" ht="16.5" customHeight="1" x14ac:dyDescent="0.25"/>
    <row r="58" spans="2:9" ht="0" hidden="1" customHeight="1" x14ac:dyDescent="0.25"/>
    <row r="59" spans="2:9" ht="16.5" customHeight="1" x14ac:dyDescent="0.25"/>
    <row r="60" spans="2:9" ht="16.5" customHeight="1" x14ac:dyDescent="0.25"/>
    <row r="61" spans="2:9" ht="16.5" customHeight="1" x14ac:dyDescent="0.25"/>
    <row r="62" spans="2:9" ht="16.5" customHeight="1" x14ac:dyDescent="0.25"/>
    <row r="63" spans="2:9" ht="16.5" customHeight="1" x14ac:dyDescent="0.25"/>
  </sheetData>
  <mergeCells count="40">
    <mergeCell ref="B45:G45"/>
    <mergeCell ref="B46:G46"/>
    <mergeCell ref="B47:G47"/>
    <mergeCell ref="B48:G48"/>
    <mergeCell ref="B49:G49"/>
    <mergeCell ref="B40:G40"/>
    <mergeCell ref="H40:I40"/>
    <mergeCell ref="B42:G42"/>
    <mergeCell ref="B43:G43"/>
    <mergeCell ref="B44:G44"/>
    <mergeCell ref="F21:I21"/>
    <mergeCell ref="F22:I22"/>
    <mergeCell ref="F23:I23"/>
    <mergeCell ref="B20:I20"/>
    <mergeCell ref="F26:I26"/>
    <mergeCell ref="B21:E21"/>
    <mergeCell ref="B22:E22"/>
    <mergeCell ref="B26:E26"/>
    <mergeCell ref="B25:I25"/>
    <mergeCell ref="B23:E23"/>
    <mergeCell ref="F27:I27"/>
    <mergeCell ref="F28:I28"/>
    <mergeCell ref="F29:I29"/>
    <mergeCell ref="F30:I30"/>
    <mergeCell ref="B29:E29"/>
    <mergeCell ref="B30:E30"/>
    <mergeCell ref="B28:E28"/>
    <mergeCell ref="B27:E27"/>
    <mergeCell ref="F37:H37"/>
    <mergeCell ref="B37:E37"/>
    <mergeCell ref="F36:H36"/>
    <mergeCell ref="B36:E36"/>
    <mergeCell ref="F35:H35"/>
    <mergeCell ref="B35:E35"/>
    <mergeCell ref="B34:E34"/>
    <mergeCell ref="F34:H34"/>
    <mergeCell ref="B32:E32"/>
    <mergeCell ref="F32:H32"/>
    <mergeCell ref="B33:E33"/>
    <mergeCell ref="F33:H33"/>
  </mergeCells>
  <dataValidations count="1">
    <dataValidation type="list" allowBlank="1" showInputMessage="1" showErrorMessage="1" sqref="H39" xr:uid="{6C74A8A0-CAE7-4068-BCE9-087A4616B01C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510B-A0F8-41D4-8D23-A6BAFDD1B48D}">
  <dimension ref="E5:L23"/>
  <sheetViews>
    <sheetView workbookViewId="0">
      <selection activeCell="K5" sqref="K5"/>
    </sheetView>
  </sheetViews>
  <sheetFormatPr defaultRowHeight="15" x14ac:dyDescent="0.25"/>
  <cols>
    <col min="5" max="5" width="30.85546875" style="71" bestFit="1" customWidth="1"/>
    <col min="6" max="6" width="12.140625" bestFit="1" customWidth="1"/>
    <col min="7" max="7" width="18.5703125" style="71" bestFit="1" customWidth="1"/>
    <col min="8" max="8" width="12.5703125" style="71" customWidth="1"/>
    <col min="9" max="9" width="10.42578125" style="73" bestFit="1" customWidth="1"/>
    <col min="11" max="11" width="16.85546875" bestFit="1" customWidth="1"/>
    <col min="12" max="12" width="9.140625" style="72"/>
  </cols>
  <sheetData>
    <row r="5" spans="5:12" x14ac:dyDescent="0.25">
      <c r="E5" s="71" t="s">
        <v>35</v>
      </c>
      <c r="F5" s="71" t="s">
        <v>33</v>
      </c>
      <c r="G5" s="71" t="s">
        <v>21</v>
      </c>
      <c r="H5" s="73" t="s">
        <v>34</v>
      </c>
    </row>
    <row r="6" spans="5:12" x14ac:dyDescent="0.25">
      <c r="E6" s="74" t="str">
        <f>F6&amp;"-"&amp;G6</f>
        <v>Conservador-PAPEL</v>
      </c>
      <c r="F6" s="71" t="s">
        <v>32</v>
      </c>
      <c r="G6" s="71" t="s">
        <v>24</v>
      </c>
      <c r="H6" s="73">
        <v>0.3</v>
      </c>
      <c r="L6"/>
    </row>
    <row r="7" spans="5:12" x14ac:dyDescent="0.25">
      <c r="E7" s="74" t="str">
        <f>F7&amp;"-"&amp;G7</f>
        <v>Conservador-TIJOLO</v>
      </c>
      <c r="F7" s="71" t="s">
        <v>32</v>
      </c>
      <c r="G7" s="71" t="s">
        <v>25</v>
      </c>
      <c r="H7" s="73">
        <v>0.5</v>
      </c>
    </row>
    <row r="8" spans="5:12" x14ac:dyDescent="0.25">
      <c r="E8" s="74" t="str">
        <f>F8&amp;"-"&amp;G8</f>
        <v>Conservador-HÍBRIDOS</v>
      </c>
      <c r="F8" s="71" t="s">
        <v>32</v>
      </c>
      <c r="G8" s="71" t="s">
        <v>27</v>
      </c>
      <c r="H8" s="73">
        <v>0.1</v>
      </c>
    </row>
    <row r="9" spans="5:12" x14ac:dyDescent="0.25">
      <c r="E9" s="74" t="str">
        <f>F9&amp;"-"&amp;G9</f>
        <v>Conservador-FOFs</v>
      </c>
      <c r="F9" s="71" t="s">
        <v>32</v>
      </c>
      <c r="G9" s="71" t="s">
        <v>26</v>
      </c>
      <c r="H9" s="73">
        <v>0.1</v>
      </c>
    </row>
    <row r="10" spans="5:12" x14ac:dyDescent="0.25">
      <c r="E10" s="74" t="str">
        <f>F10&amp;"-"&amp;G10</f>
        <v>Conservador-DESENVOLVIMENTO</v>
      </c>
      <c r="F10" s="71" t="s">
        <v>32</v>
      </c>
      <c r="G10" s="71" t="s">
        <v>28</v>
      </c>
      <c r="H10" s="73">
        <v>0</v>
      </c>
    </row>
    <row r="11" spans="5:12" ht="15.75" thickBot="1" x14ac:dyDescent="0.3">
      <c r="E11" s="75" t="str">
        <f>F11&amp;"-"&amp;G11</f>
        <v>Conservador-HOTELARIAS</v>
      </c>
      <c r="F11" s="76" t="s">
        <v>32</v>
      </c>
      <c r="G11" s="76" t="s">
        <v>29</v>
      </c>
      <c r="H11" s="77">
        <v>0</v>
      </c>
    </row>
    <row r="12" spans="5:12" x14ac:dyDescent="0.25">
      <c r="E12" s="74" t="str">
        <f>F12&amp;"-"&amp;G12</f>
        <v>Moderado-PAPEL</v>
      </c>
      <c r="F12" s="71" t="s">
        <v>31</v>
      </c>
      <c r="G12" s="71" t="s">
        <v>24</v>
      </c>
      <c r="H12" s="73">
        <v>0.32</v>
      </c>
    </row>
    <row r="13" spans="5:12" x14ac:dyDescent="0.25">
      <c r="E13" s="74" t="str">
        <f>F13&amp;"-"&amp;G13</f>
        <v>Moderado-TIJOLO</v>
      </c>
      <c r="F13" s="71" t="s">
        <v>31</v>
      </c>
      <c r="G13" s="71" t="s">
        <v>25</v>
      </c>
      <c r="H13" s="73">
        <v>0.4</v>
      </c>
    </row>
    <row r="14" spans="5:12" x14ac:dyDescent="0.25">
      <c r="E14" s="74" t="str">
        <f>F14&amp;"-"&amp;G14</f>
        <v>Moderado-HÍBRIDOS</v>
      </c>
      <c r="F14" s="71" t="s">
        <v>31</v>
      </c>
      <c r="G14" s="71" t="s">
        <v>27</v>
      </c>
      <c r="H14" s="73">
        <v>0.08</v>
      </c>
    </row>
    <row r="15" spans="5:12" x14ac:dyDescent="0.25">
      <c r="E15" s="74" t="str">
        <f>F15&amp;"-"&amp;G15</f>
        <v>Moderado-FOFs</v>
      </c>
      <c r="F15" s="71" t="s">
        <v>31</v>
      </c>
      <c r="G15" s="71" t="s">
        <v>26</v>
      </c>
      <c r="H15" s="73">
        <v>0.1</v>
      </c>
    </row>
    <row r="16" spans="5:12" x14ac:dyDescent="0.25">
      <c r="E16" s="74" t="str">
        <f>F16&amp;"-"&amp;G16</f>
        <v>Moderado-DESENVOLVIMENTO</v>
      </c>
      <c r="F16" s="71" t="s">
        <v>31</v>
      </c>
      <c r="G16" s="71" t="s">
        <v>28</v>
      </c>
      <c r="H16" s="73">
        <v>0</v>
      </c>
    </row>
    <row r="17" spans="5:8" ht="15.75" thickBot="1" x14ac:dyDescent="0.3">
      <c r="E17" s="75" t="str">
        <f>F17&amp;"-"&amp;G17</f>
        <v>Moderado-HOTELARIAS</v>
      </c>
      <c r="F17" s="76" t="s">
        <v>31</v>
      </c>
      <c r="G17" s="76" t="s">
        <v>29</v>
      </c>
      <c r="H17" s="77">
        <v>0.1</v>
      </c>
    </row>
    <row r="18" spans="5:8" x14ac:dyDescent="0.25">
      <c r="E18" s="74" t="str">
        <f>F18&amp;"-"&amp;G18</f>
        <v>Agressivo-PAPEL</v>
      </c>
      <c r="F18" s="71" t="s">
        <v>36</v>
      </c>
      <c r="G18" s="71" t="s">
        <v>24</v>
      </c>
      <c r="H18" s="73">
        <v>0.5</v>
      </c>
    </row>
    <row r="19" spans="5:8" x14ac:dyDescent="0.25">
      <c r="E19" s="74" t="str">
        <f>F19&amp;"-"&amp;G19</f>
        <v>Agressivo-TIJOLO</v>
      </c>
      <c r="F19" s="71" t="s">
        <v>36</v>
      </c>
      <c r="G19" s="71" t="s">
        <v>25</v>
      </c>
      <c r="H19" s="73">
        <v>0.1</v>
      </c>
    </row>
    <row r="20" spans="5:8" x14ac:dyDescent="0.25">
      <c r="E20" s="74" t="str">
        <f>F20&amp;"-"&amp;G20</f>
        <v>Agressivo-HÍBRIDOS</v>
      </c>
      <c r="F20" s="71" t="s">
        <v>36</v>
      </c>
      <c r="G20" s="71" t="s">
        <v>27</v>
      </c>
      <c r="H20" s="73">
        <v>0.05</v>
      </c>
    </row>
    <row r="21" spans="5:8" x14ac:dyDescent="0.25">
      <c r="E21" s="74" t="str">
        <f>F21&amp;"-"&amp;G21</f>
        <v>Agressivo-FOFs</v>
      </c>
      <c r="F21" s="71" t="s">
        <v>36</v>
      </c>
      <c r="G21" s="71" t="s">
        <v>26</v>
      </c>
      <c r="H21" s="73">
        <v>0.05</v>
      </c>
    </row>
    <row r="22" spans="5:8" x14ac:dyDescent="0.25">
      <c r="E22" s="74" t="str">
        <f>F22&amp;"-"&amp;G22</f>
        <v>Agressivo-DESENVOLVIMENTO</v>
      </c>
      <c r="F22" s="71" t="s">
        <v>36</v>
      </c>
      <c r="G22" s="71" t="s">
        <v>28</v>
      </c>
      <c r="H22" s="73">
        <v>0.2</v>
      </c>
    </row>
    <row r="23" spans="5:8" x14ac:dyDescent="0.25">
      <c r="E23" s="74" t="str">
        <f>F23&amp;"-"&amp;G23</f>
        <v>Agressivo-HOTELARIAS</v>
      </c>
      <c r="F23" s="71" t="s">
        <v>36</v>
      </c>
      <c r="G23" s="71" t="s">
        <v>29</v>
      </c>
      <c r="H23" s="73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</vt:lpstr>
      <vt:lpstr>Conditions</vt:lpstr>
      <vt:lpstr>rendimento_mensal_config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Nobrega</dc:creator>
  <cp:lastModifiedBy>Gabriel Nobrega</cp:lastModifiedBy>
  <dcterms:created xsi:type="dcterms:W3CDTF">2026-02-17T19:31:42Z</dcterms:created>
  <dcterms:modified xsi:type="dcterms:W3CDTF">2026-03-06T21:39:49Z</dcterms:modified>
</cp:coreProperties>
</file>